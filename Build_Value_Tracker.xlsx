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&quot;R&quot;#,##0"/>
    <numFmt numFmtId="166" formatCode="0.0&quot;x&quot;"/>
    <numFmt numFmtId="167" formatCode="#,##0.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5" fontId="1" fillId="2" borderId="0" pivotButton="0" quotePrefix="0" xfId="0"/>
    <xf numFmtId="1" fontId="1" fillId="2" borderId="0" pivotButton="0" quotePrefix="0" xfId="0"/>
    <xf numFmtId="166" fontId="1" fillId="2" borderId="0" pivotButton="0" quotePrefix="0" xfId="0"/>
    <xf numFmtId="3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3" fontId="1" fillId="0" borderId="0" pivotButton="0" quotePrefix="0" xfId="0"/>
    <xf numFmtId="167" fontId="1" fillId="0" borderId="0" pivotButton="0" quotePrefix="0" xfId="0"/>
    <xf numFmtId="165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Module</t>
        </is>
      </c>
      <c r="B1" s="1" t="inlineStr">
        <is>
          <t>Raw LOC</t>
        </is>
      </c>
      <c r="C1" s="1" t="inlineStr">
        <is>
          <t>Code LOC</t>
        </is>
      </c>
      <c r="D1" s="1" t="inlineStr">
        <is>
          <t>Effort factor</t>
        </is>
      </c>
    </row>
    <row r="2">
      <c r="A2" t="inlineStr">
        <is>
          <t>Client — Components</t>
        </is>
      </c>
      <c r="B2" t="n">
        <v>11577</v>
      </c>
      <c r="C2" t="n">
        <v>9873</v>
      </c>
      <c r="D2" s="2" t="n">
        <v>1</v>
      </c>
    </row>
    <row r="3">
      <c r="A3" t="inlineStr">
        <is>
          <t>Client — Pages</t>
        </is>
      </c>
      <c r="B3" t="n">
        <v>11250</v>
      </c>
      <c r="C3" t="n">
        <v>9833</v>
      </c>
      <c r="D3" s="2" t="n">
        <v>1</v>
      </c>
    </row>
    <row r="4">
      <c r="A4" t="inlineStr">
        <is>
          <t>Server — Other</t>
        </is>
      </c>
      <c r="B4" t="n">
        <v>5502</v>
      </c>
      <c r="C4" t="n">
        <v>4135</v>
      </c>
      <c r="D4" s="2" t="n">
        <v>1</v>
      </c>
    </row>
    <row r="5">
      <c r="A5" t="inlineStr">
        <is>
          <t>Server — Core, auth &amp; API</t>
        </is>
      </c>
      <c r="B5" t="n">
        <v>3841</v>
      </c>
      <c r="C5" t="n">
        <v>2894</v>
      </c>
      <c r="D5" s="2" t="n">
        <v>1</v>
      </c>
    </row>
    <row r="6">
      <c r="A6" t="inlineStr">
        <is>
          <t>Docs</t>
        </is>
      </c>
      <c r="B6" t="n">
        <v>4004</v>
      </c>
      <c r="C6" t="n">
        <v>3376</v>
      </c>
      <c r="D6" s="2" t="n">
        <v>0.594</v>
      </c>
    </row>
    <row r="7">
      <c r="A7" t="inlineStr">
        <is>
          <t>Server — Data &amp; Looker</t>
        </is>
      </c>
      <c r="B7" t="n">
        <v>2406</v>
      </c>
      <c r="C7" t="n">
        <v>1927</v>
      </c>
      <c r="D7" s="2" t="n">
        <v>1</v>
      </c>
    </row>
    <row r="8">
      <c r="A8" t="inlineStr">
        <is>
          <t>Tests</t>
        </is>
      </c>
      <c r="B8" t="n">
        <v>2494</v>
      </c>
      <c r="C8" t="n">
        <v>1918</v>
      </c>
      <c r="D8" s="2" t="n">
        <v>1</v>
      </c>
    </row>
    <row r="9">
      <c r="A9" t="inlineStr">
        <is>
          <t>Server — Campaign engine</t>
        </is>
      </c>
      <c r="B9" t="n">
        <v>2443</v>
      </c>
      <c r="C9" t="n">
        <v>1893</v>
      </c>
      <c r="D9" s="2" t="n">
        <v>1</v>
      </c>
    </row>
    <row r="10">
      <c r="A10" t="inlineStr">
        <is>
          <t>Client — Lib &amp; shell</t>
        </is>
      </c>
      <c r="B10" t="n">
        <v>1986</v>
      </c>
      <c r="C10" t="n">
        <v>1496</v>
      </c>
      <c r="D10" s="2" t="n">
        <v>1</v>
      </c>
    </row>
    <row r="11">
      <c r="A11" t="inlineStr">
        <is>
          <t>Server — AI &amp; insights</t>
        </is>
      </c>
      <c r="B11" t="n">
        <v>1143</v>
      </c>
      <c r="C11" t="n">
        <v>933</v>
      </c>
      <c r="D11" s="2" t="n">
        <v>1</v>
      </c>
    </row>
    <row r="12">
      <c r="A12" t="inlineStr">
        <is>
          <t>Client — Editor</t>
        </is>
      </c>
      <c r="B12" t="n">
        <v>987</v>
      </c>
      <c r="C12" t="n">
        <v>871</v>
      </c>
      <c r="D12" s="2" t="n">
        <v>1</v>
      </c>
    </row>
    <row r="13">
      <c r="A13" t="inlineStr">
        <is>
          <t>Client — Tiles</t>
        </is>
      </c>
      <c r="B13" t="n">
        <v>932</v>
      </c>
      <c r="C13" t="n">
        <v>752</v>
      </c>
      <c r="D13" s="2" t="n">
        <v>1</v>
      </c>
    </row>
    <row r="14">
      <c r="A14" t="inlineStr">
        <is>
          <t>Server — Messaging &amp; email</t>
        </is>
      </c>
      <c r="B14" t="n">
        <v>795</v>
      </c>
      <c r="C14" t="n">
        <v>587</v>
      </c>
      <c r="D14" s="2" t="n">
        <v>1</v>
      </c>
    </row>
    <row r="15">
      <c r="A15" t="inlineStr">
        <is>
          <t>Other</t>
        </is>
      </c>
      <c r="B15" t="n">
        <v>794</v>
      </c>
      <c r="C15" t="n">
        <v>633</v>
      </c>
      <c r="D15" s="2" t="n">
        <v>0.87</v>
      </c>
    </row>
    <row r="16">
      <c r="A16" t="inlineStr">
        <is>
          <t>Docs — Product overview</t>
        </is>
      </c>
      <c r="B16" t="n">
        <v>1028</v>
      </c>
      <c r="C16" t="n">
        <v>917</v>
      </c>
      <c r="D16" s="2" t="n">
        <v>0.593</v>
      </c>
    </row>
    <row r="17">
      <c r="A17" t="inlineStr">
        <is>
          <t>Server — Experience OS spine</t>
        </is>
      </c>
      <c r="B17" t="n">
        <v>669</v>
      </c>
      <c r="C17" t="n">
        <v>507</v>
      </c>
      <c r="D17" s="2" t="n">
        <v>1</v>
      </c>
    </row>
    <row r="18">
      <c r="A18" t="inlineStr">
        <is>
          <t>Docs — Specs</t>
        </is>
      </c>
      <c r="B18" t="n">
        <v>910</v>
      </c>
      <c r="C18" t="n">
        <v>786</v>
      </c>
      <c r="D18" s="2" t="n">
        <v>0.6</v>
      </c>
    </row>
    <row r="19">
      <c r="A19" t="inlineStr">
        <is>
          <t>Server — Ad-platform sync</t>
        </is>
      </c>
      <c r="B19" t="n">
        <v>593</v>
      </c>
      <c r="C19" t="n">
        <v>452</v>
      </c>
      <c r="D19" s="2" t="n">
        <v>1</v>
      </c>
    </row>
    <row r="20">
      <c r="A20" t="inlineStr">
        <is>
          <t>Server — Digests &amp; scheduler</t>
        </is>
      </c>
      <c r="B20" t="n">
        <v>402</v>
      </c>
      <c r="C20" t="n">
        <v>326</v>
      </c>
      <c r="D20" s="2" t="n">
        <v>1</v>
      </c>
    </row>
    <row r="21">
      <c r="A21" t="inlineStr">
        <is>
          <t>Client — App shell</t>
        </is>
      </c>
      <c r="B21" t="n">
        <v>347</v>
      </c>
      <c r="C21" t="n">
        <v>292</v>
      </c>
      <c r="D21" s="2" t="n">
        <v>1</v>
      </c>
    </row>
    <row r="22">
      <c r="A22" t="inlineStr">
        <is>
          <t>Client — Inbox (OS)</t>
        </is>
      </c>
      <c r="B22" t="n">
        <v>313</v>
      </c>
      <c r="C22" t="n">
        <v>262</v>
      </c>
      <c r="D22" s="2" t="n">
        <v>1</v>
      </c>
    </row>
    <row r="23">
      <c r="A23" t="inlineStr">
        <is>
          <t>Client — Styles</t>
        </is>
      </c>
      <c r="B23" t="n">
        <v>439</v>
      </c>
      <c r="C23" t="n">
        <v>335</v>
      </c>
      <c r="D23" s="2" t="n">
        <v>0.6</v>
      </c>
    </row>
    <row r="24">
      <c r="A24" t="inlineStr">
        <is>
          <t>Client — Config</t>
        </is>
      </c>
      <c r="B24" t="n">
        <v>197</v>
      </c>
      <c r="C24" t="n">
        <v>169</v>
      </c>
      <c r="D24" s="2" t="n">
        <v>0.755</v>
      </c>
    </row>
    <row r="25">
      <c r="A25" t="inlineStr">
        <is>
          <t>Docs — Experience OS pitch</t>
        </is>
      </c>
      <c r="B25" t="n">
        <v>164</v>
      </c>
      <c r="C25" t="n">
        <v>152</v>
      </c>
      <c r="D25" s="2" t="n">
        <v>0.55</v>
      </c>
    </row>
    <row r="26">
      <c r="A26" t="inlineStr">
        <is>
          <t>Server — Onboarding</t>
        </is>
      </c>
      <c r="B26" t="n">
        <v>89</v>
      </c>
      <c r="C26" t="n">
        <v>59</v>
      </c>
      <c r="D26" s="2" t="n">
        <v>1</v>
      </c>
    </row>
    <row r="27">
      <c r="A27" t="inlineStr">
        <is>
          <t>Server — Fixtures &amp; data</t>
        </is>
      </c>
      <c r="B27" t="n">
        <v>127</v>
      </c>
      <c r="C27" t="n">
        <v>127</v>
      </c>
      <c r="D27" s="2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3" t="inlineStr">
        <is>
          <t>Build-Value Tracker — replacement-cost estimate</t>
        </is>
      </c>
    </row>
    <row r="2" ht="72" customHeight="1">
      <c r="A2" s="4" t="inlineStr">
        <is>
          <t>What it would plausibly cost to commission this build from a senior contractor at the rate below. This is a REPLACEMENT-COST estimate — NOT revenue, NOT realised value. "Build only" = writing the code; "Full delivery" applies the delivery multiplier for design, testing, QA, UAT and PM. Always read it with the sensitivity band: the Net LOC/day assumption moves the answer more than the rate, so quote the band, never a single headline figure.</t>
        </is>
      </c>
    </row>
    <row r="4">
      <c r="A4" s="1" t="inlineStr">
        <is>
          <t>Assumptions — edit these</t>
        </is>
      </c>
    </row>
    <row r="5">
      <c r="A5" t="inlineStr">
        <is>
          <t>Hourly rate (R/hour)</t>
        </is>
      </c>
      <c r="B5" s="5" t="n">
        <v>650</v>
      </c>
    </row>
    <row r="6">
      <c r="A6" t="inlineStr">
        <is>
          <t>Hours per day</t>
        </is>
      </c>
      <c r="B6" s="6" t="n">
        <v>8</v>
      </c>
    </row>
    <row r="7">
      <c r="A7" t="inlineStr">
        <is>
          <t>Net LOC per day</t>
        </is>
      </c>
      <c r="B7" s="6" t="n">
        <v>150</v>
      </c>
    </row>
    <row r="8">
      <c r="A8" t="inlineStr">
        <is>
          <t>Delivery multiplier (design, test, QA, UAT, PM)</t>
        </is>
      </c>
      <c r="B8" s="7" t="n">
        <v>2</v>
      </c>
    </row>
    <row r="10">
      <c r="A10" s="1" t="inlineStr">
        <is>
          <t>Per-module value</t>
        </is>
      </c>
    </row>
    <row r="11">
      <c r="A11" s="1" t="inlineStr">
        <is>
          <t>Module</t>
        </is>
      </c>
      <c r="B11" s="1" t="inlineStr">
        <is>
          <t>Equiv LOC</t>
        </is>
      </c>
      <c r="C11" s="1" t="inlineStr">
        <is>
          <t>Engineer-days</t>
        </is>
      </c>
      <c r="D11" s="1" t="inlineStr">
        <is>
          <t>Engineer-hours</t>
        </is>
      </c>
      <c r="E11" s="1" t="inlineStr">
        <is>
          <t>Build value (R)</t>
        </is>
      </c>
    </row>
    <row r="12">
      <c r="A12">
        <f>IF(Data!A2="","",Data!A2)</f>
        <v/>
      </c>
      <c r="B12" s="8">
        <f>IF(Data!C2="","",Data!C2*Data!D2)</f>
        <v/>
      </c>
      <c r="C12" s="9">
        <f>IF(B12="","",B12/$B$7)</f>
        <v/>
      </c>
      <c r="D12" s="8">
        <f>IF(C12="","",C12*$B$6)</f>
        <v/>
      </c>
      <c r="E12" s="10">
        <f>IF(D12="","",D12*$B$5)</f>
        <v/>
      </c>
    </row>
    <row r="13">
      <c r="A13">
        <f>IF(Data!A3="","",Data!A3)</f>
        <v/>
      </c>
      <c r="B13" s="8">
        <f>IF(Data!C3="","",Data!C3*Data!D3)</f>
        <v/>
      </c>
      <c r="C13" s="9">
        <f>IF(B13="","",B13/$B$7)</f>
        <v/>
      </c>
      <c r="D13" s="8">
        <f>IF(C13="","",C13*$B$6)</f>
        <v/>
      </c>
      <c r="E13" s="10">
        <f>IF(D13="","",D13*$B$5)</f>
        <v/>
      </c>
    </row>
    <row r="14">
      <c r="A14">
        <f>IF(Data!A4="","",Data!A4)</f>
        <v/>
      </c>
      <c r="B14" s="8">
        <f>IF(Data!C4="","",Data!C4*Data!D4)</f>
        <v/>
      </c>
      <c r="C14" s="9">
        <f>IF(B14="","",B14/$B$7)</f>
        <v/>
      </c>
      <c r="D14" s="8">
        <f>IF(C14="","",C14*$B$6)</f>
        <v/>
      </c>
      <c r="E14" s="10">
        <f>IF(D14="","",D14*$B$5)</f>
        <v/>
      </c>
    </row>
    <row r="15">
      <c r="A15">
        <f>IF(Data!A5="","",Data!A5)</f>
        <v/>
      </c>
      <c r="B15" s="8">
        <f>IF(Data!C5="","",Data!C5*Data!D5)</f>
        <v/>
      </c>
      <c r="C15" s="9">
        <f>IF(B15="","",B15/$B$7)</f>
        <v/>
      </c>
      <c r="D15" s="8">
        <f>IF(C15="","",C15*$B$6)</f>
        <v/>
      </c>
      <c r="E15" s="10">
        <f>IF(D15="","",D15*$B$5)</f>
        <v/>
      </c>
    </row>
    <row r="16">
      <c r="A16">
        <f>IF(Data!A6="","",Data!A6)</f>
        <v/>
      </c>
      <c r="B16" s="8">
        <f>IF(Data!C6="","",Data!C6*Data!D6)</f>
        <v/>
      </c>
      <c r="C16" s="9">
        <f>IF(B16="","",B16/$B$7)</f>
        <v/>
      </c>
      <c r="D16" s="8">
        <f>IF(C16="","",C16*$B$6)</f>
        <v/>
      </c>
      <c r="E16" s="10">
        <f>IF(D16="","",D16*$B$5)</f>
        <v/>
      </c>
    </row>
    <row r="17">
      <c r="A17">
        <f>IF(Data!A7="","",Data!A7)</f>
        <v/>
      </c>
      <c r="B17" s="8">
        <f>IF(Data!C7="","",Data!C7*Data!D7)</f>
        <v/>
      </c>
      <c r="C17" s="9">
        <f>IF(B17="","",B17/$B$7)</f>
        <v/>
      </c>
      <c r="D17" s="8">
        <f>IF(C17="","",C17*$B$6)</f>
        <v/>
      </c>
      <c r="E17" s="10">
        <f>IF(D17="","",D17*$B$5)</f>
        <v/>
      </c>
    </row>
    <row r="18">
      <c r="A18">
        <f>IF(Data!A8="","",Data!A8)</f>
        <v/>
      </c>
      <c r="B18" s="8">
        <f>IF(Data!C8="","",Data!C8*Data!D8)</f>
        <v/>
      </c>
      <c r="C18" s="9">
        <f>IF(B18="","",B18/$B$7)</f>
        <v/>
      </c>
      <c r="D18" s="8">
        <f>IF(C18="","",C18*$B$6)</f>
        <v/>
      </c>
      <c r="E18" s="10">
        <f>IF(D18="","",D18*$B$5)</f>
        <v/>
      </c>
    </row>
    <row r="19">
      <c r="A19">
        <f>IF(Data!A9="","",Data!A9)</f>
        <v/>
      </c>
      <c r="B19" s="8">
        <f>IF(Data!C9="","",Data!C9*Data!D9)</f>
        <v/>
      </c>
      <c r="C19" s="9">
        <f>IF(B19="","",B19/$B$7)</f>
        <v/>
      </c>
      <c r="D19" s="8">
        <f>IF(C19="","",C19*$B$6)</f>
        <v/>
      </c>
      <c r="E19" s="10">
        <f>IF(D19="","",D19*$B$5)</f>
        <v/>
      </c>
    </row>
    <row r="20">
      <c r="A20">
        <f>IF(Data!A10="","",Data!A10)</f>
        <v/>
      </c>
      <c r="B20" s="8">
        <f>IF(Data!C10="","",Data!C10*Data!D10)</f>
        <v/>
      </c>
      <c r="C20" s="9">
        <f>IF(B20="","",B20/$B$7)</f>
        <v/>
      </c>
      <c r="D20" s="8">
        <f>IF(C20="","",C20*$B$6)</f>
        <v/>
      </c>
      <c r="E20" s="10">
        <f>IF(D20="","",D20*$B$5)</f>
        <v/>
      </c>
    </row>
    <row r="21">
      <c r="A21">
        <f>IF(Data!A11="","",Data!A11)</f>
        <v/>
      </c>
      <c r="B21" s="8">
        <f>IF(Data!C11="","",Data!C11*Data!D11)</f>
        <v/>
      </c>
      <c r="C21" s="9">
        <f>IF(B21="","",B21/$B$7)</f>
        <v/>
      </c>
      <c r="D21" s="8">
        <f>IF(C21="","",C21*$B$6)</f>
        <v/>
      </c>
      <c r="E21" s="10">
        <f>IF(D21="","",D21*$B$5)</f>
        <v/>
      </c>
    </row>
    <row r="22">
      <c r="A22">
        <f>IF(Data!A12="","",Data!A12)</f>
        <v/>
      </c>
      <c r="B22" s="8">
        <f>IF(Data!C12="","",Data!C12*Data!D12)</f>
        <v/>
      </c>
      <c r="C22" s="9">
        <f>IF(B22="","",B22/$B$7)</f>
        <v/>
      </c>
      <c r="D22" s="8">
        <f>IF(C22="","",C22*$B$6)</f>
        <v/>
      </c>
      <c r="E22" s="10">
        <f>IF(D22="","",D22*$B$5)</f>
        <v/>
      </c>
    </row>
    <row r="23">
      <c r="A23">
        <f>IF(Data!A13="","",Data!A13)</f>
        <v/>
      </c>
      <c r="B23" s="8">
        <f>IF(Data!C13="","",Data!C13*Data!D13)</f>
        <v/>
      </c>
      <c r="C23" s="9">
        <f>IF(B23="","",B23/$B$7)</f>
        <v/>
      </c>
      <c r="D23" s="8">
        <f>IF(C23="","",C23*$B$6)</f>
        <v/>
      </c>
      <c r="E23" s="10">
        <f>IF(D23="","",D23*$B$5)</f>
        <v/>
      </c>
    </row>
    <row r="24">
      <c r="A24">
        <f>IF(Data!A14="","",Data!A14)</f>
        <v/>
      </c>
      <c r="B24" s="8">
        <f>IF(Data!C14="","",Data!C14*Data!D14)</f>
        <v/>
      </c>
      <c r="C24" s="9">
        <f>IF(B24="","",B24/$B$7)</f>
        <v/>
      </c>
      <c r="D24" s="8">
        <f>IF(C24="","",C24*$B$6)</f>
        <v/>
      </c>
      <c r="E24" s="10">
        <f>IF(D24="","",D24*$B$5)</f>
        <v/>
      </c>
    </row>
    <row r="25">
      <c r="A25">
        <f>IF(Data!A15="","",Data!A15)</f>
        <v/>
      </c>
      <c r="B25" s="8">
        <f>IF(Data!C15="","",Data!C15*Data!D15)</f>
        <v/>
      </c>
      <c r="C25" s="9">
        <f>IF(B25="","",B25/$B$7)</f>
        <v/>
      </c>
      <c r="D25" s="8">
        <f>IF(C25="","",C25*$B$6)</f>
        <v/>
      </c>
      <c r="E25" s="10">
        <f>IF(D25="","",D25*$B$5)</f>
        <v/>
      </c>
    </row>
    <row r="26">
      <c r="A26">
        <f>IF(Data!A16="","",Data!A16)</f>
        <v/>
      </c>
      <c r="B26" s="8">
        <f>IF(Data!C16="","",Data!C16*Data!D16)</f>
        <v/>
      </c>
      <c r="C26" s="9">
        <f>IF(B26="","",B26/$B$7)</f>
        <v/>
      </c>
      <c r="D26" s="8">
        <f>IF(C26="","",C26*$B$6)</f>
        <v/>
      </c>
      <c r="E26" s="10">
        <f>IF(D26="","",D26*$B$5)</f>
        <v/>
      </c>
    </row>
    <row r="27">
      <c r="A27">
        <f>IF(Data!A17="","",Data!A17)</f>
        <v/>
      </c>
      <c r="B27" s="8">
        <f>IF(Data!C17="","",Data!C17*Data!D17)</f>
        <v/>
      </c>
      <c r="C27" s="9">
        <f>IF(B27="","",B27/$B$7)</f>
        <v/>
      </c>
      <c r="D27" s="8">
        <f>IF(C27="","",C27*$B$6)</f>
        <v/>
      </c>
      <c r="E27" s="10">
        <f>IF(D27="","",D27*$B$5)</f>
        <v/>
      </c>
    </row>
    <row r="28">
      <c r="A28">
        <f>IF(Data!A18="","",Data!A18)</f>
        <v/>
      </c>
      <c r="B28" s="8">
        <f>IF(Data!C18="","",Data!C18*Data!D18)</f>
        <v/>
      </c>
      <c r="C28" s="9">
        <f>IF(B28="","",B28/$B$7)</f>
        <v/>
      </c>
      <c r="D28" s="8">
        <f>IF(C28="","",C28*$B$6)</f>
        <v/>
      </c>
      <c r="E28" s="10">
        <f>IF(D28="","",D28*$B$5)</f>
        <v/>
      </c>
    </row>
    <row r="29">
      <c r="A29">
        <f>IF(Data!A19="","",Data!A19)</f>
        <v/>
      </c>
      <c r="B29" s="8">
        <f>IF(Data!C19="","",Data!C19*Data!D19)</f>
        <v/>
      </c>
      <c r="C29" s="9">
        <f>IF(B29="","",B29/$B$7)</f>
        <v/>
      </c>
      <c r="D29" s="8">
        <f>IF(C29="","",C29*$B$6)</f>
        <v/>
      </c>
      <c r="E29" s="10">
        <f>IF(D29="","",D29*$B$5)</f>
        <v/>
      </c>
    </row>
    <row r="30">
      <c r="A30">
        <f>IF(Data!A20="","",Data!A20)</f>
        <v/>
      </c>
      <c r="B30" s="8">
        <f>IF(Data!C20="","",Data!C20*Data!D20)</f>
        <v/>
      </c>
      <c r="C30" s="9">
        <f>IF(B30="","",B30/$B$7)</f>
        <v/>
      </c>
      <c r="D30" s="8">
        <f>IF(C30="","",C30*$B$6)</f>
        <v/>
      </c>
      <c r="E30" s="10">
        <f>IF(D30="","",D30*$B$5)</f>
        <v/>
      </c>
    </row>
    <row r="31">
      <c r="A31">
        <f>IF(Data!A21="","",Data!A21)</f>
        <v/>
      </c>
      <c r="B31" s="8">
        <f>IF(Data!C21="","",Data!C21*Data!D21)</f>
        <v/>
      </c>
      <c r="C31" s="9">
        <f>IF(B31="","",B31/$B$7)</f>
        <v/>
      </c>
      <c r="D31" s="8">
        <f>IF(C31="","",C31*$B$6)</f>
        <v/>
      </c>
      <c r="E31" s="10">
        <f>IF(D31="","",D31*$B$5)</f>
        <v/>
      </c>
    </row>
    <row r="32">
      <c r="A32">
        <f>IF(Data!A22="","",Data!A22)</f>
        <v/>
      </c>
      <c r="B32" s="8">
        <f>IF(Data!C22="","",Data!C22*Data!D22)</f>
        <v/>
      </c>
      <c r="C32" s="9">
        <f>IF(B32="","",B32/$B$7)</f>
        <v/>
      </c>
      <c r="D32" s="8">
        <f>IF(C32="","",C32*$B$6)</f>
        <v/>
      </c>
      <c r="E32" s="10">
        <f>IF(D32="","",D32*$B$5)</f>
        <v/>
      </c>
    </row>
    <row r="33">
      <c r="A33">
        <f>IF(Data!A23="","",Data!A23)</f>
        <v/>
      </c>
      <c r="B33" s="8">
        <f>IF(Data!C23="","",Data!C23*Data!D23)</f>
        <v/>
      </c>
      <c r="C33" s="9">
        <f>IF(B33="","",B33/$B$7)</f>
        <v/>
      </c>
      <c r="D33" s="8">
        <f>IF(C33="","",C33*$B$6)</f>
        <v/>
      </c>
      <c r="E33" s="10">
        <f>IF(D33="","",D33*$B$5)</f>
        <v/>
      </c>
    </row>
    <row r="34">
      <c r="A34">
        <f>IF(Data!A24="","",Data!A24)</f>
        <v/>
      </c>
      <c r="B34" s="8">
        <f>IF(Data!C24="","",Data!C24*Data!D24)</f>
        <v/>
      </c>
      <c r="C34" s="9">
        <f>IF(B34="","",B34/$B$7)</f>
        <v/>
      </c>
      <c r="D34" s="8">
        <f>IF(C34="","",C34*$B$6)</f>
        <v/>
      </c>
      <c r="E34" s="10">
        <f>IF(D34="","",D34*$B$5)</f>
        <v/>
      </c>
    </row>
    <row r="35">
      <c r="A35">
        <f>IF(Data!A25="","",Data!A25)</f>
        <v/>
      </c>
      <c r="B35" s="8">
        <f>IF(Data!C25="","",Data!C25*Data!D25)</f>
        <v/>
      </c>
      <c r="C35" s="9">
        <f>IF(B35="","",B35/$B$7)</f>
        <v/>
      </c>
      <c r="D35" s="8">
        <f>IF(C35="","",C35*$B$6)</f>
        <v/>
      </c>
      <c r="E35" s="10">
        <f>IF(D35="","",D35*$B$5)</f>
        <v/>
      </c>
    </row>
    <row r="36">
      <c r="A36">
        <f>IF(Data!A26="","",Data!A26)</f>
        <v/>
      </c>
      <c r="B36" s="8">
        <f>IF(Data!C26="","",Data!C26*Data!D26)</f>
        <v/>
      </c>
      <c r="C36" s="9">
        <f>IF(B36="","",B36/$B$7)</f>
        <v/>
      </c>
      <c r="D36" s="8">
        <f>IF(C36="","",C36*$B$6)</f>
        <v/>
      </c>
      <c r="E36" s="10">
        <f>IF(D36="","",D36*$B$5)</f>
        <v/>
      </c>
    </row>
    <row r="37">
      <c r="A37">
        <f>IF(Data!A27="","",Data!A27)</f>
        <v/>
      </c>
      <c r="B37" s="8">
        <f>IF(Data!C27="","",Data!C27*Data!D27)</f>
        <v/>
      </c>
      <c r="C37" s="9">
        <f>IF(B37="","",B37/$B$7)</f>
        <v/>
      </c>
      <c r="D37" s="8">
        <f>IF(C37="","",C37*$B$6)</f>
        <v/>
      </c>
      <c r="E37" s="10">
        <f>IF(D37="","",D37*$B$5)</f>
        <v/>
      </c>
    </row>
    <row r="38">
      <c r="A38">
        <f>IF(Data!A28="","",Data!A28)</f>
        <v/>
      </c>
      <c r="B38" s="8">
        <f>IF(Data!C28="","",Data!C28*Data!D28)</f>
        <v/>
      </c>
      <c r="C38" s="9">
        <f>IF(B38="","",B38/$B$7)</f>
        <v/>
      </c>
      <c r="D38" s="8">
        <f>IF(C38="","",C38*$B$6)</f>
        <v/>
      </c>
      <c r="E38" s="10">
        <f>IF(D38="","",D38*$B$5)</f>
        <v/>
      </c>
    </row>
    <row r="39">
      <c r="A39">
        <f>IF(Data!A29="","",Data!A29)</f>
        <v/>
      </c>
      <c r="B39" s="8">
        <f>IF(Data!C29="","",Data!C29*Data!D29)</f>
        <v/>
      </c>
      <c r="C39" s="9">
        <f>IF(B39="","",B39/$B$7)</f>
        <v/>
      </c>
      <c r="D39" s="8">
        <f>IF(C39="","",C39*$B$6)</f>
        <v/>
      </c>
      <c r="E39" s="10">
        <f>IF(D39="","",D39*$B$5)</f>
        <v/>
      </c>
    </row>
    <row r="40">
      <c r="A40">
        <f>IF(Data!A30="","",Data!A30)</f>
        <v/>
      </c>
      <c r="B40" s="8">
        <f>IF(Data!C30="","",Data!C30*Data!D30)</f>
        <v/>
      </c>
      <c r="C40" s="9">
        <f>IF(B40="","",B40/$B$7)</f>
        <v/>
      </c>
      <c r="D40" s="8">
        <f>IF(C40="","",C40*$B$6)</f>
        <v/>
      </c>
      <c r="E40" s="10">
        <f>IF(D40="","",D40*$B$5)</f>
        <v/>
      </c>
    </row>
    <row r="41">
      <c r="A41">
        <f>IF(Data!A31="","",Data!A31)</f>
        <v/>
      </c>
      <c r="B41" s="8">
        <f>IF(Data!C31="","",Data!C31*Data!D31)</f>
        <v/>
      </c>
      <c r="C41" s="9">
        <f>IF(B41="","",B41/$B$7)</f>
        <v/>
      </c>
      <c r="D41" s="8">
        <f>IF(C41="","",C41*$B$6)</f>
        <v/>
      </c>
      <c r="E41" s="10">
        <f>IF(D41="","",D41*$B$5)</f>
        <v/>
      </c>
    </row>
    <row r="42">
      <c r="A42">
        <f>IF(Data!A32="","",Data!A32)</f>
        <v/>
      </c>
      <c r="B42" s="8">
        <f>IF(Data!C32="","",Data!C32*Data!D32)</f>
        <v/>
      </c>
      <c r="C42" s="9">
        <f>IF(B42="","",B42/$B$7)</f>
        <v/>
      </c>
      <c r="D42" s="8">
        <f>IF(C42="","",C42*$B$6)</f>
        <v/>
      </c>
      <c r="E42" s="10">
        <f>IF(D42="","",D42*$B$5)</f>
        <v/>
      </c>
    </row>
    <row r="43">
      <c r="A43">
        <f>IF(Data!A33="","",Data!A33)</f>
        <v/>
      </c>
      <c r="B43" s="8">
        <f>IF(Data!C33="","",Data!C33*Data!D33)</f>
        <v/>
      </c>
      <c r="C43" s="9">
        <f>IF(B43="","",B43/$B$7)</f>
        <v/>
      </c>
      <c r="D43" s="8">
        <f>IF(C43="","",C43*$B$6)</f>
        <v/>
      </c>
      <c r="E43" s="10">
        <f>IF(D43="","",D43*$B$5)</f>
        <v/>
      </c>
    </row>
    <row r="44">
      <c r="A44">
        <f>IF(Data!A34="","",Data!A34)</f>
        <v/>
      </c>
      <c r="B44" s="8">
        <f>IF(Data!C34="","",Data!C34*Data!D34)</f>
        <v/>
      </c>
      <c r="C44" s="9">
        <f>IF(B44="","",B44/$B$7)</f>
        <v/>
      </c>
      <c r="D44" s="8">
        <f>IF(C44="","",C44*$B$6)</f>
        <v/>
      </c>
      <c r="E44" s="10">
        <f>IF(D44="","",D44*$B$5)</f>
        <v/>
      </c>
    </row>
    <row r="45">
      <c r="A45">
        <f>IF(Data!A35="","",Data!A35)</f>
        <v/>
      </c>
      <c r="B45" s="8">
        <f>IF(Data!C35="","",Data!C35*Data!D35)</f>
        <v/>
      </c>
      <c r="C45" s="9">
        <f>IF(B45="","",B45/$B$7)</f>
        <v/>
      </c>
      <c r="D45" s="8">
        <f>IF(C45="","",C45*$B$6)</f>
        <v/>
      </c>
      <c r="E45" s="10">
        <f>IF(D45="","",D45*$B$5)</f>
        <v/>
      </c>
    </row>
    <row r="46">
      <c r="A46">
        <f>IF(Data!A36="","",Data!A36)</f>
        <v/>
      </c>
      <c r="B46" s="8">
        <f>IF(Data!C36="","",Data!C36*Data!D36)</f>
        <v/>
      </c>
      <c r="C46" s="9">
        <f>IF(B46="","",B46/$B$7)</f>
        <v/>
      </c>
      <c r="D46" s="8">
        <f>IF(C46="","",C46*$B$6)</f>
        <v/>
      </c>
      <c r="E46" s="10">
        <f>IF(D46="","",D46*$B$5)</f>
        <v/>
      </c>
    </row>
    <row r="47">
      <c r="A47">
        <f>IF(Data!A37="","",Data!A37)</f>
        <v/>
      </c>
      <c r="B47" s="8">
        <f>IF(Data!C37="","",Data!C37*Data!D37)</f>
        <v/>
      </c>
      <c r="C47" s="9">
        <f>IF(B47="","",B47/$B$7)</f>
        <v/>
      </c>
      <c r="D47" s="8">
        <f>IF(C47="","",C47*$B$6)</f>
        <v/>
      </c>
      <c r="E47" s="10">
        <f>IF(D47="","",D47*$B$5)</f>
        <v/>
      </c>
    </row>
    <row r="48">
      <c r="A48">
        <f>IF(Data!A38="","",Data!A38)</f>
        <v/>
      </c>
      <c r="B48" s="8">
        <f>IF(Data!C38="","",Data!C38*Data!D38)</f>
        <v/>
      </c>
      <c r="C48" s="9">
        <f>IF(B48="","",B48/$B$7)</f>
        <v/>
      </c>
      <c r="D48" s="8">
        <f>IF(C48="","",C48*$B$6)</f>
        <v/>
      </c>
      <c r="E48" s="10">
        <f>IF(D48="","",D48*$B$5)</f>
        <v/>
      </c>
    </row>
    <row r="49">
      <c r="A49">
        <f>IF(Data!A39="","",Data!A39)</f>
        <v/>
      </c>
      <c r="B49" s="8">
        <f>IF(Data!C39="","",Data!C39*Data!D39)</f>
        <v/>
      </c>
      <c r="C49" s="9">
        <f>IF(B49="","",B49/$B$7)</f>
        <v/>
      </c>
      <c r="D49" s="8">
        <f>IF(C49="","",C49*$B$6)</f>
        <v/>
      </c>
      <c r="E49" s="10">
        <f>IF(D49="","",D49*$B$5)</f>
        <v/>
      </c>
    </row>
    <row r="50">
      <c r="A50">
        <f>IF(Data!A40="","",Data!A40)</f>
        <v/>
      </c>
      <c r="B50" s="8">
        <f>IF(Data!C40="","",Data!C40*Data!D40)</f>
        <v/>
      </c>
      <c r="C50" s="9">
        <f>IF(B50="","",B50/$B$7)</f>
        <v/>
      </c>
      <c r="D50" s="8">
        <f>IF(C50="","",C50*$B$6)</f>
        <v/>
      </c>
      <c r="E50" s="10">
        <f>IF(D50="","",D50*$B$5)</f>
        <v/>
      </c>
    </row>
    <row r="51">
      <c r="A51">
        <f>IF(Data!A41="","",Data!A41)</f>
        <v/>
      </c>
      <c r="B51" s="8">
        <f>IF(Data!C41="","",Data!C41*Data!D41)</f>
        <v/>
      </c>
      <c r="C51" s="9">
        <f>IF(B51="","",B51/$B$7)</f>
        <v/>
      </c>
      <c r="D51" s="8">
        <f>IF(C51="","",C51*$B$6)</f>
        <v/>
      </c>
      <c r="E51" s="10">
        <f>IF(D51="","",D51*$B$5)</f>
        <v/>
      </c>
    </row>
    <row r="52">
      <c r="A52">
        <f>IF(Data!A42="","",Data!A42)</f>
        <v/>
      </c>
      <c r="B52" s="8">
        <f>IF(Data!C42="","",Data!C42*Data!D42)</f>
        <v/>
      </c>
      <c r="C52" s="9">
        <f>IF(B52="","",B52/$B$7)</f>
        <v/>
      </c>
      <c r="D52" s="8">
        <f>IF(C52="","",C52*$B$6)</f>
        <v/>
      </c>
      <c r="E52" s="10">
        <f>IF(D52="","",D52*$B$5)</f>
        <v/>
      </c>
    </row>
    <row r="53">
      <c r="A53">
        <f>IF(Data!A43="","",Data!A43)</f>
        <v/>
      </c>
      <c r="B53" s="8">
        <f>IF(Data!C43="","",Data!C43*Data!D43)</f>
        <v/>
      </c>
      <c r="C53" s="9">
        <f>IF(B53="","",B53/$B$7)</f>
        <v/>
      </c>
      <c r="D53" s="8">
        <f>IF(C53="","",C53*$B$6)</f>
        <v/>
      </c>
      <c r="E53" s="10">
        <f>IF(D53="","",D53*$B$5)</f>
        <v/>
      </c>
    </row>
    <row r="54">
      <c r="A54">
        <f>IF(Data!A44="","",Data!A44)</f>
        <v/>
      </c>
      <c r="B54" s="8">
        <f>IF(Data!C44="","",Data!C44*Data!D44)</f>
        <v/>
      </c>
      <c r="C54" s="9">
        <f>IF(B54="","",B54/$B$7)</f>
        <v/>
      </c>
      <c r="D54" s="8">
        <f>IF(C54="","",C54*$B$6)</f>
        <v/>
      </c>
      <c r="E54" s="10">
        <f>IF(D54="","",D54*$B$5)</f>
        <v/>
      </c>
    </row>
    <row r="55">
      <c r="A55">
        <f>IF(Data!A45="","",Data!A45)</f>
        <v/>
      </c>
      <c r="B55" s="8">
        <f>IF(Data!C45="","",Data!C45*Data!D45)</f>
        <v/>
      </c>
      <c r="C55" s="9">
        <f>IF(B55="","",B55/$B$7)</f>
        <v/>
      </c>
      <c r="D55" s="8">
        <f>IF(C55="","",C55*$B$6)</f>
        <v/>
      </c>
      <c r="E55" s="10">
        <f>IF(D55="","",D55*$B$5)</f>
        <v/>
      </c>
    </row>
    <row r="56">
      <c r="A56">
        <f>IF(Data!A46="","",Data!A46)</f>
        <v/>
      </c>
      <c r="B56" s="8">
        <f>IF(Data!C46="","",Data!C46*Data!D46)</f>
        <v/>
      </c>
      <c r="C56" s="9">
        <f>IF(B56="","",B56/$B$7)</f>
        <v/>
      </c>
      <c r="D56" s="8">
        <f>IF(C56="","",C56*$B$6)</f>
        <v/>
      </c>
      <c r="E56" s="10">
        <f>IF(D56="","",D56*$B$5)</f>
        <v/>
      </c>
    </row>
    <row r="57">
      <c r="A57">
        <f>IF(Data!A47="","",Data!A47)</f>
        <v/>
      </c>
      <c r="B57" s="8">
        <f>IF(Data!C47="","",Data!C47*Data!D47)</f>
        <v/>
      </c>
      <c r="C57" s="9">
        <f>IF(B57="","",B57/$B$7)</f>
        <v/>
      </c>
      <c r="D57" s="8">
        <f>IF(C57="","",C57*$B$6)</f>
        <v/>
      </c>
      <c r="E57" s="10">
        <f>IF(D57="","",D57*$B$5)</f>
        <v/>
      </c>
    </row>
    <row r="58">
      <c r="A58">
        <f>IF(Data!A48="","",Data!A48)</f>
        <v/>
      </c>
      <c r="B58" s="8">
        <f>IF(Data!C48="","",Data!C48*Data!D48)</f>
        <v/>
      </c>
      <c r="C58" s="9">
        <f>IF(B58="","",B58/$B$7)</f>
        <v/>
      </c>
      <c r="D58" s="8">
        <f>IF(C58="","",C58*$B$6)</f>
        <v/>
      </c>
      <c r="E58" s="10">
        <f>IF(D58="","",D58*$B$5)</f>
        <v/>
      </c>
    </row>
    <row r="59">
      <c r="A59">
        <f>IF(Data!A49="","",Data!A49)</f>
        <v/>
      </c>
      <c r="B59" s="8">
        <f>IF(Data!C49="","",Data!C49*Data!D49)</f>
        <v/>
      </c>
      <c r="C59" s="9">
        <f>IF(B59="","",B59/$B$7)</f>
        <v/>
      </c>
      <c r="D59" s="8">
        <f>IF(C59="","",C59*$B$6)</f>
        <v/>
      </c>
      <c r="E59" s="10">
        <f>IF(D59="","",D59*$B$5)</f>
        <v/>
      </c>
    </row>
    <row r="60">
      <c r="A60">
        <f>IF(Data!A50="","",Data!A50)</f>
        <v/>
      </c>
      <c r="B60" s="8">
        <f>IF(Data!C50="","",Data!C50*Data!D50)</f>
        <v/>
      </c>
      <c r="C60" s="9">
        <f>IF(B60="","",B60/$B$7)</f>
        <v/>
      </c>
      <c r="D60" s="8">
        <f>IF(C60="","",C60*$B$6)</f>
        <v/>
      </c>
      <c r="E60" s="10">
        <f>IF(D60="","",D60*$B$5)</f>
        <v/>
      </c>
    </row>
    <row r="61">
      <c r="A61">
        <f>IF(Data!A51="","",Data!A51)</f>
        <v/>
      </c>
      <c r="B61" s="8">
        <f>IF(Data!C51="","",Data!C51*Data!D51)</f>
        <v/>
      </c>
      <c r="C61" s="9">
        <f>IF(B61="","",B61/$B$7)</f>
        <v/>
      </c>
      <c r="D61" s="8">
        <f>IF(C61="","",C61*$B$6)</f>
        <v/>
      </c>
      <c r="E61" s="10">
        <f>IF(D61="","",D61*$B$5)</f>
        <v/>
      </c>
    </row>
    <row r="62">
      <c r="A62">
        <f>IF(Data!A52="","",Data!A52)</f>
        <v/>
      </c>
      <c r="B62" s="8">
        <f>IF(Data!C52="","",Data!C52*Data!D52)</f>
        <v/>
      </c>
      <c r="C62" s="9">
        <f>IF(B62="","",B62/$B$7)</f>
        <v/>
      </c>
      <c r="D62" s="8">
        <f>IF(C62="","",C62*$B$6)</f>
        <v/>
      </c>
      <c r="E62" s="10">
        <f>IF(D62="","",D62*$B$5)</f>
        <v/>
      </c>
    </row>
    <row r="63">
      <c r="A63">
        <f>IF(Data!A53="","",Data!A53)</f>
        <v/>
      </c>
      <c r="B63" s="8">
        <f>IF(Data!C53="","",Data!C53*Data!D53)</f>
        <v/>
      </c>
      <c r="C63" s="9">
        <f>IF(B63="","",B63/$B$7)</f>
        <v/>
      </c>
      <c r="D63" s="8">
        <f>IF(C63="","",C63*$B$6)</f>
        <v/>
      </c>
      <c r="E63" s="10">
        <f>IF(D63="","",D63*$B$5)</f>
        <v/>
      </c>
    </row>
    <row r="64">
      <c r="A64">
        <f>IF(Data!A54="","",Data!A54)</f>
        <v/>
      </c>
      <c r="B64" s="8">
        <f>IF(Data!C54="","",Data!C54*Data!D54)</f>
        <v/>
      </c>
      <c r="C64" s="9">
        <f>IF(B64="","",B64/$B$7)</f>
        <v/>
      </c>
      <c r="D64" s="8">
        <f>IF(C64="","",C64*$B$6)</f>
        <v/>
      </c>
      <c r="E64" s="10">
        <f>IF(D64="","",D64*$B$5)</f>
        <v/>
      </c>
    </row>
    <row r="65">
      <c r="A65">
        <f>IF(Data!A55="","",Data!A55)</f>
        <v/>
      </c>
      <c r="B65" s="8">
        <f>IF(Data!C55="","",Data!C55*Data!D55)</f>
        <v/>
      </c>
      <c r="C65" s="9">
        <f>IF(B65="","",B65/$B$7)</f>
        <v/>
      </c>
      <c r="D65" s="8">
        <f>IF(C65="","",C65*$B$6)</f>
        <v/>
      </c>
      <c r="E65" s="10">
        <f>IF(D65="","",D65*$B$5)</f>
        <v/>
      </c>
    </row>
    <row r="66">
      <c r="A66">
        <f>IF(Data!A56="","",Data!A56)</f>
        <v/>
      </c>
      <c r="B66" s="8">
        <f>IF(Data!C56="","",Data!C56*Data!D56)</f>
        <v/>
      </c>
      <c r="C66" s="9">
        <f>IF(B66="","",B66/$B$7)</f>
        <v/>
      </c>
      <c r="D66" s="8">
        <f>IF(C66="","",C66*$B$6)</f>
        <v/>
      </c>
      <c r="E66" s="10">
        <f>IF(D66="","",D66*$B$5)</f>
        <v/>
      </c>
    </row>
    <row r="67">
      <c r="A67">
        <f>IF(Data!A57="","",Data!A57)</f>
        <v/>
      </c>
      <c r="B67" s="8">
        <f>IF(Data!C57="","",Data!C57*Data!D57)</f>
        <v/>
      </c>
      <c r="C67" s="9">
        <f>IF(B67="","",B67/$B$7)</f>
        <v/>
      </c>
      <c r="D67" s="8">
        <f>IF(C67="","",C67*$B$6)</f>
        <v/>
      </c>
      <c r="E67" s="10">
        <f>IF(D67="","",D67*$B$5)</f>
        <v/>
      </c>
    </row>
    <row r="68">
      <c r="A68">
        <f>IF(Data!A58="","",Data!A58)</f>
        <v/>
      </c>
      <c r="B68" s="8">
        <f>IF(Data!C58="","",Data!C58*Data!D58)</f>
        <v/>
      </c>
      <c r="C68" s="9">
        <f>IF(B68="","",B68/$B$7)</f>
        <v/>
      </c>
      <c r="D68" s="8">
        <f>IF(C68="","",C68*$B$6)</f>
        <v/>
      </c>
      <c r="E68" s="10">
        <f>IF(D68="","",D68*$B$5)</f>
        <v/>
      </c>
    </row>
    <row r="69">
      <c r="A69">
        <f>IF(Data!A59="","",Data!A59)</f>
        <v/>
      </c>
      <c r="B69" s="8">
        <f>IF(Data!C59="","",Data!C59*Data!D59)</f>
        <v/>
      </c>
      <c r="C69" s="9">
        <f>IF(B69="","",B69/$B$7)</f>
        <v/>
      </c>
      <c r="D69" s="8">
        <f>IF(C69="","",C69*$B$6)</f>
        <v/>
      </c>
      <c r="E69" s="10">
        <f>IF(D69="","",D69*$B$5)</f>
        <v/>
      </c>
    </row>
    <row r="70">
      <c r="A70">
        <f>IF(Data!A60="","",Data!A60)</f>
        <v/>
      </c>
      <c r="B70" s="8">
        <f>IF(Data!C60="","",Data!C60*Data!D60)</f>
        <v/>
      </c>
      <c r="C70" s="9">
        <f>IF(B70="","",B70/$B$7)</f>
        <v/>
      </c>
      <c r="D70" s="8">
        <f>IF(C70="","",C70*$B$6)</f>
        <v/>
      </c>
      <c r="E70" s="10">
        <f>IF(D70="","",D70*$B$5)</f>
        <v/>
      </c>
    </row>
    <row r="71">
      <c r="A71">
        <f>IF(Data!A61="","",Data!A61)</f>
        <v/>
      </c>
      <c r="B71" s="8">
        <f>IF(Data!C61="","",Data!C61*Data!D61)</f>
        <v/>
      </c>
      <c r="C71" s="9">
        <f>IF(B71="","",B71/$B$7)</f>
        <v/>
      </c>
      <c r="D71" s="8">
        <f>IF(C71="","",C71*$B$6)</f>
        <v/>
      </c>
      <c r="E71" s="10">
        <f>IF(D71="","",D71*$B$5)</f>
        <v/>
      </c>
    </row>
    <row r="72">
      <c r="A72">
        <f>IF(Data!A62="","",Data!A62)</f>
        <v/>
      </c>
      <c r="B72" s="8">
        <f>IF(Data!C62="","",Data!C62*Data!D62)</f>
        <v/>
      </c>
      <c r="C72" s="9">
        <f>IF(B72="","",B72/$B$7)</f>
        <v/>
      </c>
      <c r="D72" s="8">
        <f>IF(C72="","",C72*$B$6)</f>
        <v/>
      </c>
      <c r="E72" s="10">
        <f>IF(D72="","",D72*$B$5)</f>
        <v/>
      </c>
    </row>
    <row r="73">
      <c r="A73">
        <f>IF(Data!A63="","",Data!A63)</f>
        <v/>
      </c>
      <c r="B73" s="8">
        <f>IF(Data!C63="","",Data!C63*Data!D63)</f>
        <v/>
      </c>
      <c r="C73" s="9">
        <f>IF(B73="","",B73/$B$7)</f>
        <v/>
      </c>
      <c r="D73" s="8">
        <f>IF(C73="","",C73*$B$6)</f>
        <v/>
      </c>
      <c r="E73" s="10">
        <f>IF(D73="","",D73*$B$5)</f>
        <v/>
      </c>
    </row>
    <row r="74">
      <c r="A74">
        <f>IF(Data!A64="","",Data!A64)</f>
        <v/>
      </c>
      <c r="B74" s="8">
        <f>IF(Data!C64="","",Data!C64*Data!D64)</f>
        <v/>
      </c>
      <c r="C74" s="9">
        <f>IF(B74="","",B74/$B$7)</f>
        <v/>
      </c>
      <c r="D74" s="8">
        <f>IF(C74="","",C74*$B$6)</f>
        <v/>
      </c>
      <c r="E74" s="10">
        <f>IF(D74="","",D74*$B$5)</f>
        <v/>
      </c>
    </row>
    <row r="75">
      <c r="A75">
        <f>IF(Data!A65="","",Data!A65)</f>
        <v/>
      </c>
      <c r="B75" s="8">
        <f>IF(Data!C65="","",Data!C65*Data!D65)</f>
        <v/>
      </c>
      <c r="C75" s="9">
        <f>IF(B75="","",B75/$B$7)</f>
        <v/>
      </c>
      <c r="D75" s="8">
        <f>IF(C75="","",C75*$B$6)</f>
        <v/>
      </c>
      <c r="E75" s="10">
        <f>IF(D75="","",D75*$B$5)</f>
        <v/>
      </c>
    </row>
    <row r="76">
      <c r="A76">
        <f>IF(Data!A66="","",Data!A66)</f>
        <v/>
      </c>
      <c r="B76" s="8">
        <f>IF(Data!C66="","",Data!C66*Data!D66)</f>
        <v/>
      </c>
      <c r="C76" s="9">
        <f>IF(B76="","",B76/$B$7)</f>
        <v/>
      </c>
      <c r="D76" s="8">
        <f>IF(C76="","",C76*$B$6)</f>
        <v/>
      </c>
      <c r="E76" s="10">
        <f>IF(D76="","",D76*$B$5)</f>
        <v/>
      </c>
    </row>
    <row r="77">
      <c r="A77">
        <f>IF(Data!A67="","",Data!A67)</f>
        <v/>
      </c>
      <c r="B77" s="8">
        <f>IF(Data!C67="","",Data!C67*Data!D67)</f>
        <v/>
      </c>
      <c r="C77" s="9">
        <f>IF(B77="","",B77/$B$7)</f>
        <v/>
      </c>
      <c r="D77" s="8">
        <f>IF(C77="","",C77*$B$6)</f>
        <v/>
      </c>
      <c r="E77" s="10">
        <f>IF(D77="","",D77*$B$5)</f>
        <v/>
      </c>
    </row>
    <row r="78">
      <c r="A78">
        <f>IF(Data!A68="","",Data!A68)</f>
        <v/>
      </c>
      <c r="B78" s="8">
        <f>IF(Data!C68="","",Data!C68*Data!D68)</f>
        <v/>
      </c>
      <c r="C78" s="9">
        <f>IF(B78="","",B78/$B$7)</f>
        <v/>
      </c>
      <c r="D78" s="8">
        <f>IF(C78="","",C78*$B$6)</f>
        <v/>
      </c>
      <c r="E78" s="10">
        <f>IF(D78="","",D78*$B$5)</f>
        <v/>
      </c>
    </row>
    <row r="79">
      <c r="A79">
        <f>IF(Data!A69="","",Data!A69)</f>
        <v/>
      </c>
      <c r="B79" s="8">
        <f>IF(Data!C69="","",Data!C69*Data!D69)</f>
        <v/>
      </c>
      <c r="C79" s="9">
        <f>IF(B79="","",B79/$B$7)</f>
        <v/>
      </c>
      <c r="D79" s="8">
        <f>IF(C79="","",C79*$B$6)</f>
        <v/>
      </c>
      <c r="E79" s="10">
        <f>IF(D79="","",D79*$B$5)</f>
        <v/>
      </c>
    </row>
    <row r="80">
      <c r="A80">
        <f>IF(Data!A70="","",Data!A70)</f>
        <v/>
      </c>
      <c r="B80" s="8">
        <f>IF(Data!C70="","",Data!C70*Data!D70)</f>
        <v/>
      </c>
      <c r="C80" s="9">
        <f>IF(B80="","",B80/$B$7)</f>
        <v/>
      </c>
      <c r="D80" s="8">
        <f>IF(C80="","",C80*$B$6)</f>
        <v/>
      </c>
      <c r="E80" s="10">
        <f>IF(D80="","",D80*$B$5)</f>
        <v/>
      </c>
    </row>
    <row r="81">
      <c r="A81">
        <f>IF(Data!A71="","",Data!A71)</f>
        <v/>
      </c>
      <c r="B81" s="8">
        <f>IF(Data!C71="","",Data!C71*Data!D71)</f>
        <v/>
      </c>
      <c r="C81" s="9">
        <f>IF(B81="","",B81/$B$7)</f>
        <v/>
      </c>
      <c r="D81" s="8">
        <f>IF(C81="","",C81*$B$6)</f>
        <v/>
      </c>
      <c r="E81" s="10">
        <f>IF(D81="","",D81*$B$5)</f>
        <v/>
      </c>
    </row>
    <row r="82">
      <c r="A82">
        <f>IF(Data!A72="","",Data!A72)</f>
        <v/>
      </c>
      <c r="B82" s="8">
        <f>IF(Data!C72="","",Data!C72*Data!D72)</f>
        <v/>
      </c>
      <c r="C82" s="9">
        <f>IF(B82="","",B82/$B$7)</f>
        <v/>
      </c>
      <c r="D82" s="8">
        <f>IF(C82="","",C82*$B$6)</f>
        <v/>
      </c>
      <c r="E82" s="10">
        <f>IF(D82="","",D82*$B$5)</f>
        <v/>
      </c>
    </row>
    <row r="83">
      <c r="A83">
        <f>IF(Data!A73="","",Data!A73)</f>
        <v/>
      </c>
      <c r="B83" s="8">
        <f>IF(Data!C73="","",Data!C73*Data!D73)</f>
        <v/>
      </c>
      <c r="C83" s="9">
        <f>IF(B83="","",B83/$B$7)</f>
        <v/>
      </c>
      <c r="D83" s="8">
        <f>IF(C83="","",C83*$B$6)</f>
        <v/>
      </c>
      <c r="E83" s="10">
        <f>IF(D83="","",D83*$B$5)</f>
        <v/>
      </c>
    </row>
    <row r="84">
      <c r="A84">
        <f>IF(Data!A74="","",Data!A74)</f>
        <v/>
      </c>
      <c r="B84" s="8">
        <f>IF(Data!C74="","",Data!C74*Data!D74)</f>
        <v/>
      </c>
      <c r="C84" s="9">
        <f>IF(B84="","",B84/$B$7)</f>
        <v/>
      </c>
      <c r="D84" s="8">
        <f>IF(C84="","",C84*$B$6)</f>
        <v/>
      </c>
      <c r="E84" s="10">
        <f>IF(D84="","",D84*$B$5)</f>
        <v/>
      </c>
    </row>
    <row r="85">
      <c r="A85">
        <f>IF(Data!A75="","",Data!A75)</f>
        <v/>
      </c>
      <c r="B85" s="8">
        <f>IF(Data!C75="","",Data!C75*Data!D75)</f>
        <v/>
      </c>
      <c r="C85" s="9">
        <f>IF(B85="","",B85/$B$7)</f>
        <v/>
      </c>
      <c r="D85" s="8">
        <f>IF(C85="","",C85*$B$6)</f>
        <v/>
      </c>
      <c r="E85" s="10">
        <f>IF(D85="","",D85*$B$5)</f>
        <v/>
      </c>
    </row>
    <row r="86">
      <c r="A86">
        <f>IF(Data!A76="","",Data!A76)</f>
        <v/>
      </c>
      <c r="B86" s="8">
        <f>IF(Data!C76="","",Data!C76*Data!D76)</f>
        <v/>
      </c>
      <c r="C86" s="9">
        <f>IF(B86="","",B86/$B$7)</f>
        <v/>
      </c>
      <c r="D86" s="8">
        <f>IF(C86="","",C86*$B$6)</f>
        <v/>
      </c>
      <c r="E86" s="10">
        <f>IF(D86="","",D86*$B$5)</f>
        <v/>
      </c>
    </row>
    <row r="87">
      <c r="A87">
        <f>IF(Data!A77="","",Data!A77)</f>
        <v/>
      </c>
      <c r="B87" s="8">
        <f>IF(Data!C77="","",Data!C77*Data!D77)</f>
        <v/>
      </c>
      <c r="C87" s="9">
        <f>IF(B87="","",B87/$B$7)</f>
        <v/>
      </c>
      <c r="D87" s="8">
        <f>IF(C87="","",C87*$B$6)</f>
        <v/>
      </c>
      <c r="E87" s="10">
        <f>IF(D87="","",D87*$B$5)</f>
        <v/>
      </c>
    </row>
    <row r="88">
      <c r="A88">
        <f>IF(Data!A78="","",Data!A78)</f>
        <v/>
      </c>
      <c r="B88" s="8">
        <f>IF(Data!C78="","",Data!C78*Data!D78)</f>
        <v/>
      </c>
      <c r="C88" s="9">
        <f>IF(B88="","",B88/$B$7)</f>
        <v/>
      </c>
      <c r="D88" s="8">
        <f>IF(C88="","",C88*$B$6)</f>
        <v/>
      </c>
      <c r="E88" s="10">
        <f>IF(D88="","",D88*$B$5)</f>
        <v/>
      </c>
    </row>
    <row r="89">
      <c r="A89">
        <f>IF(Data!A79="","",Data!A79)</f>
        <v/>
      </c>
      <c r="B89" s="8">
        <f>IF(Data!C79="","",Data!C79*Data!D79)</f>
        <v/>
      </c>
      <c r="C89" s="9">
        <f>IF(B89="","",B89/$B$7)</f>
        <v/>
      </c>
      <c r="D89" s="8">
        <f>IF(C89="","",C89*$B$6)</f>
        <v/>
      </c>
      <c r="E89" s="10">
        <f>IF(D89="","",D89*$B$5)</f>
        <v/>
      </c>
    </row>
    <row r="90">
      <c r="A90">
        <f>IF(Data!A80="","",Data!A80)</f>
        <v/>
      </c>
      <c r="B90" s="8">
        <f>IF(Data!C80="","",Data!C80*Data!D80)</f>
        <v/>
      </c>
      <c r="C90" s="9">
        <f>IF(B90="","",B90/$B$7)</f>
        <v/>
      </c>
      <c r="D90" s="8">
        <f>IF(C90="","",C90*$B$6)</f>
        <v/>
      </c>
      <c r="E90" s="10">
        <f>IF(D90="","",D90*$B$5)</f>
        <v/>
      </c>
    </row>
    <row r="91">
      <c r="A91">
        <f>IF(Data!A81="","",Data!A81)</f>
        <v/>
      </c>
      <c r="B91" s="8">
        <f>IF(Data!C81="","",Data!C81*Data!D81)</f>
        <v/>
      </c>
      <c r="C91" s="9">
        <f>IF(B91="","",B91/$B$7)</f>
        <v/>
      </c>
      <c r="D91" s="8">
        <f>IF(C91="","",C91*$B$6)</f>
        <v/>
      </c>
      <c r="E91" s="10">
        <f>IF(D91="","",D91*$B$5)</f>
        <v/>
      </c>
    </row>
    <row r="92">
      <c r="A92">
        <f>IF(Data!A82="","",Data!A82)</f>
        <v/>
      </c>
      <c r="B92" s="8">
        <f>IF(Data!C82="","",Data!C82*Data!D82)</f>
        <v/>
      </c>
      <c r="C92" s="9">
        <f>IF(B92="","",B92/$B$7)</f>
        <v/>
      </c>
      <c r="D92" s="8">
        <f>IF(C92="","",C92*$B$6)</f>
        <v/>
      </c>
      <c r="E92" s="10">
        <f>IF(D92="","",D92*$B$5)</f>
        <v/>
      </c>
    </row>
    <row r="93">
      <c r="A93">
        <f>IF(Data!A83="","",Data!A83)</f>
        <v/>
      </c>
      <c r="B93" s="8">
        <f>IF(Data!C83="","",Data!C83*Data!D83)</f>
        <v/>
      </c>
      <c r="C93" s="9">
        <f>IF(B93="","",B93/$B$7)</f>
        <v/>
      </c>
      <c r="D93" s="8">
        <f>IF(C93="","",C93*$B$6)</f>
        <v/>
      </c>
      <c r="E93" s="10">
        <f>IF(D93="","",D93*$B$5)</f>
        <v/>
      </c>
    </row>
    <row r="94">
      <c r="A94">
        <f>IF(Data!A84="","",Data!A84)</f>
        <v/>
      </c>
      <c r="B94" s="8">
        <f>IF(Data!C84="","",Data!C84*Data!D84)</f>
        <v/>
      </c>
      <c r="C94" s="9">
        <f>IF(B94="","",B94/$B$7)</f>
        <v/>
      </c>
      <c r="D94" s="8">
        <f>IF(C94="","",C94*$B$6)</f>
        <v/>
      </c>
      <c r="E94" s="10">
        <f>IF(D94="","",D94*$B$5)</f>
        <v/>
      </c>
    </row>
    <row r="95">
      <c r="A95">
        <f>IF(Data!A85="","",Data!A85)</f>
        <v/>
      </c>
      <c r="B95" s="8">
        <f>IF(Data!C85="","",Data!C85*Data!D85)</f>
        <v/>
      </c>
      <c r="C95" s="9">
        <f>IF(B95="","",B95/$B$7)</f>
        <v/>
      </c>
      <c r="D95" s="8">
        <f>IF(C95="","",C95*$B$6)</f>
        <v/>
      </c>
      <c r="E95" s="10">
        <f>IF(D95="","",D95*$B$5)</f>
        <v/>
      </c>
    </row>
    <row r="96">
      <c r="A96">
        <f>IF(Data!A86="","",Data!A86)</f>
        <v/>
      </c>
      <c r="B96" s="8">
        <f>IF(Data!C86="","",Data!C86*Data!D86)</f>
        <v/>
      </c>
      <c r="C96" s="9">
        <f>IF(B96="","",B96/$B$7)</f>
        <v/>
      </c>
      <c r="D96" s="8">
        <f>IF(C96="","",C96*$B$6)</f>
        <v/>
      </c>
      <c r="E96" s="10">
        <f>IF(D96="","",D96*$B$5)</f>
        <v/>
      </c>
    </row>
    <row r="97">
      <c r="A97">
        <f>IF(Data!A87="","",Data!A87)</f>
        <v/>
      </c>
      <c r="B97" s="8">
        <f>IF(Data!C87="","",Data!C87*Data!D87)</f>
        <v/>
      </c>
      <c r="C97" s="9">
        <f>IF(B97="","",B97/$B$7)</f>
        <v/>
      </c>
      <c r="D97" s="8">
        <f>IF(C97="","",C97*$B$6)</f>
        <v/>
      </c>
      <c r="E97" s="10">
        <f>IF(D97="","",D97*$B$5)</f>
        <v/>
      </c>
    </row>
    <row r="98">
      <c r="A98">
        <f>IF(Data!A88="","",Data!A88)</f>
        <v/>
      </c>
      <c r="B98" s="8">
        <f>IF(Data!C88="","",Data!C88*Data!D88)</f>
        <v/>
      </c>
      <c r="C98" s="9">
        <f>IF(B98="","",B98/$B$7)</f>
        <v/>
      </c>
      <c r="D98" s="8">
        <f>IF(C98="","",C98*$B$6)</f>
        <v/>
      </c>
      <c r="E98" s="10">
        <f>IF(D98="","",D98*$B$5)</f>
        <v/>
      </c>
    </row>
    <row r="99">
      <c r="A99">
        <f>IF(Data!A89="","",Data!A89)</f>
        <v/>
      </c>
      <c r="B99" s="8">
        <f>IF(Data!C89="","",Data!C89*Data!D89)</f>
        <v/>
      </c>
      <c r="C99" s="9">
        <f>IF(B99="","",B99/$B$7)</f>
        <v/>
      </c>
      <c r="D99" s="8">
        <f>IF(C99="","",C99*$B$6)</f>
        <v/>
      </c>
      <c r="E99" s="10">
        <f>IF(D99="","",D99*$B$5)</f>
        <v/>
      </c>
    </row>
    <row r="100">
      <c r="A100">
        <f>IF(Data!A90="","",Data!A90)</f>
        <v/>
      </c>
      <c r="B100" s="8">
        <f>IF(Data!C90="","",Data!C90*Data!D90)</f>
        <v/>
      </c>
      <c r="C100" s="9">
        <f>IF(B100="","",B100/$B$7)</f>
        <v/>
      </c>
      <c r="D100" s="8">
        <f>IF(C100="","",C100*$B$6)</f>
        <v/>
      </c>
      <c r="E100" s="10">
        <f>IF(D100="","",D100*$B$5)</f>
        <v/>
      </c>
    </row>
    <row r="101">
      <c r="A101">
        <f>IF(Data!A91="","",Data!A91)</f>
        <v/>
      </c>
      <c r="B101" s="8">
        <f>IF(Data!C91="","",Data!C91*Data!D91)</f>
        <v/>
      </c>
      <c r="C101" s="9">
        <f>IF(B101="","",B101/$B$7)</f>
        <v/>
      </c>
      <c r="D101" s="8">
        <f>IF(C101="","",C101*$B$6)</f>
        <v/>
      </c>
      <c r="E101" s="10">
        <f>IF(D101="","",D101*$B$5)</f>
        <v/>
      </c>
    </row>
    <row r="102">
      <c r="A102">
        <f>IF(Data!A92="","",Data!A92)</f>
        <v/>
      </c>
      <c r="B102" s="8">
        <f>IF(Data!C92="","",Data!C92*Data!D92)</f>
        <v/>
      </c>
      <c r="C102" s="9">
        <f>IF(B102="","",B102/$B$7)</f>
        <v/>
      </c>
      <c r="D102" s="8">
        <f>IF(C102="","",C102*$B$6)</f>
        <v/>
      </c>
      <c r="E102" s="10">
        <f>IF(D102="","",D102*$B$5)</f>
        <v/>
      </c>
    </row>
    <row r="103">
      <c r="A103">
        <f>IF(Data!A93="","",Data!A93)</f>
        <v/>
      </c>
      <c r="B103" s="8">
        <f>IF(Data!C93="","",Data!C93*Data!D93)</f>
        <v/>
      </c>
      <c r="C103" s="9">
        <f>IF(B103="","",B103/$B$7)</f>
        <v/>
      </c>
      <c r="D103" s="8">
        <f>IF(C103="","",C103*$B$6)</f>
        <v/>
      </c>
      <c r="E103" s="10">
        <f>IF(D103="","",D103*$B$5)</f>
        <v/>
      </c>
    </row>
    <row r="104">
      <c r="A104">
        <f>IF(Data!A94="","",Data!A94)</f>
        <v/>
      </c>
      <c r="B104" s="8">
        <f>IF(Data!C94="","",Data!C94*Data!D94)</f>
        <v/>
      </c>
      <c r="C104" s="9">
        <f>IF(B104="","",B104/$B$7)</f>
        <v/>
      </c>
      <c r="D104" s="8">
        <f>IF(C104="","",C104*$B$6)</f>
        <v/>
      </c>
      <c r="E104" s="10">
        <f>IF(D104="","",D104*$B$5)</f>
        <v/>
      </c>
    </row>
    <row r="105">
      <c r="A105">
        <f>IF(Data!A95="","",Data!A95)</f>
        <v/>
      </c>
      <c r="B105" s="8">
        <f>IF(Data!C95="","",Data!C95*Data!D95)</f>
        <v/>
      </c>
      <c r="C105" s="9">
        <f>IF(B105="","",B105/$B$7)</f>
        <v/>
      </c>
      <c r="D105" s="8">
        <f>IF(C105="","",C105*$B$6)</f>
        <v/>
      </c>
      <c r="E105" s="10">
        <f>IF(D105="","",D105*$B$5)</f>
        <v/>
      </c>
    </row>
    <row r="106">
      <c r="A106">
        <f>IF(Data!A96="","",Data!A96)</f>
        <v/>
      </c>
      <c r="B106" s="8">
        <f>IF(Data!C96="","",Data!C96*Data!D96)</f>
        <v/>
      </c>
      <c r="C106" s="9">
        <f>IF(B106="","",B106/$B$7)</f>
        <v/>
      </c>
      <c r="D106" s="8">
        <f>IF(C106="","",C106*$B$6)</f>
        <v/>
      </c>
      <c r="E106" s="10">
        <f>IF(D106="","",D106*$B$5)</f>
        <v/>
      </c>
    </row>
    <row r="107">
      <c r="A107">
        <f>IF(Data!A97="","",Data!A97)</f>
        <v/>
      </c>
      <c r="B107" s="8">
        <f>IF(Data!C97="","",Data!C97*Data!D97)</f>
        <v/>
      </c>
      <c r="C107" s="9">
        <f>IF(B107="","",B107/$B$7)</f>
        <v/>
      </c>
      <c r="D107" s="8">
        <f>IF(C107="","",C107*$B$6)</f>
        <v/>
      </c>
      <c r="E107" s="10">
        <f>IF(D107="","",D107*$B$5)</f>
        <v/>
      </c>
    </row>
    <row r="108">
      <c r="A108">
        <f>IF(Data!A98="","",Data!A98)</f>
        <v/>
      </c>
      <c r="B108" s="8">
        <f>IF(Data!C98="","",Data!C98*Data!D98)</f>
        <v/>
      </c>
      <c r="C108" s="9">
        <f>IF(B108="","",B108/$B$7)</f>
        <v/>
      </c>
      <c r="D108" s="8">
        <f>IF(C108="","",C108*$B$6)</f>
        <v/>
      </c>
      <c r="E108" s="10">
        <f>IF(D108="","",D108*$B$5)</f>
        <v/>
      </c>
    </row>
    <row r="109">
      <c r="A109">
        <f>IF(Data!A99="","",Data!A99)</f>
        <v/>
      </c>
      <c r="B109" s="8">
        <f>IF(Data!C99="","",Data!C99*Data!D99)</f>
        <v/>
      </c>
      <c r="C109" s="9">
        <f>IF(B109="","",B109/$B$7)</f>
        <v/>
      </c>
      <c r="D109" s="8">
        <f>IF(C109="","",C109*$B$6)</f>
        <v/>
      </c>
      <c r="E109" s="10">
        <f>IF(D109="","",D109*$B$5)</f>
        <v/>
      </c>
    </row>
    <row r="110">
      <c r="A110">
        <f>IF(Data!A100="","",Data!A100)</f>
        <v/>
      </c>
      <c r="B110" s="8">
        <f>IF(Data!C100="","",Data!C100*Data!D100)</f>
        <v/>
      </c>
      <c r="C110" s="9">
        <f>IF(B110="","",B110/$B$7)</f>
        <v/>
      </c>
      <c r="D110" s="8">
        <f>IF(C110="","",C110*$B$6)</f>
        <v/>
      </c>
      <c r="E110" s="10">
        <f>IF(D110="","",D110*$B$5)</f>
        <v/>
      </c>
    </row>
    <row r="111">
      <c r="A111">
        <f>IF(Data!A101="","",Data!A101)</f>
        <v/>
      </c>
      <c r="B111" s="8">
        <f>IF(Data!C101="","",Data!C101*Data!D101)</f>
        <v/>
      </c>
      <c r="C111" s="9">
        <f>IF(B111="","",B111/$B$7)</f>
        <v/>
      </c>
      <c r="D111" s="8">
        <f>IF(C111="","",C111*$B$6)</f>
        <v/>
      </c>
      <c r="E111" s="10">
        <f>IF(D111="","",D111*$B$5)</f>
        <v/>
      </c>
    </row>
    <row r="112">
      <c r="A112" s="1" t="inlineStr">
        <is>
          <t>TOTAL</t>
        </is>
      </c>
      <c r="B112" s="11">
        <f>SUM(B12:B111)</f>
        <v/>
      </c>
      <c r="C112" s="12">
        <f>SUM(C12:C111)</f>
        <v/>
      </c>
      <c r="D112" s="11">
        <f>SUM(D12:D111)</f>
        <v/>
      </c>
      <c r="E112" s="13">
        <f>SUM(E12:E111)</f>
        <v/>
      </c>
    </row>
    <row r="114">
      <c r="A114" s="1" t="inlineStr">
        <is>
          <t>Headline — current assumptions</t>
        </is>
      </c>
    </row>
    <row r="115">
      <c r="A115" t="inlineStr">
        <is>
          <t>Build only (writing the code)</t>
        </is>
      </c>
      <c r="B115" s="13">
        <f>$E$112</f>
        <v/>
      </c>
    </row>
    <row r="116">
      <c r="A116" t="inlineStr">
        <is>
          <t>Full delivery (× delivery multiplier)</t>
        </is>
      </c>
      <c r="B116" s="13">
        <f>$E$112*$B$8</f>
        <v/>
      </c>
      <c r="C116" s="14">
        <f> design, testing, QA, UAT, PM on top of build</f>
        <v/>
      </c>
    </row>
    <row r="118">
      <c r="A118" s="1" t="inlineStr">
        <is>
          <t>Sensitivity — total value by Net LOC/day (the dominant assumption)</t>
        </is>
      </c>
    </row>
    <row r="119">
      <c r="A119" s="1" t="inlineStr">
        <is>
          <t>Net LOC/day</t>
        </is>
      </c>
      <c r="B119" s="1" t="inlineStr">
        <is>
          <t>Engineer-days</t>
        </is>
      </c>
      <c r="C119" s="1" t="inlineStr">
        <is>
          <t>Build value (R)</t>
        </is>
      </c>
      <c r="D119" s="1" t="inlineStr">
        <is>
          <t>Full delivery (R)</t>
        </is>
      </c>
    </row>
    <row r="120">
      <c r="A120" t="n">
        <v>100</v>
      </c>
      <c r="B120" s="9">
        <f>$B$112/100</f>
        <v/>
      </c>
      <c r="C120" s="10">
        <f>$B$112/100*$B$6*$B$5</f>
        <v/>
      </c>
      <c r="D120" s="10">
        <f>$B$112/100*$B$6*$B$5*$B$8</f>
        <v/>
      </c>
    </row>
    <row r="121">
      <c r="A121" t="n">
        <v>150</v>
      </c>
      <c r="B121" s="9">
        <f>$B$112/150</f>
        <v/>
      </c>
      <c r="C121" s="10">
        <f>$B$112/150*$B$6*$B$5</f>
        <v/>
      </c>
      <c r="D121" s="10">
        <f>$B$112/150*$B$6*$B$5*$B$8</f>
        <v/>
      </c>
      <c r="E121" s="14" t="inlineStr">
        <is>
          <t>← current</t>
        </is>
      </c>
    </row>
    <row r="122">
      <c r="A122" t="n">
        <v>250</v>
      </c>
      <c r="B122" s="9">
        <f>$B$112/250</f>
        <v/>
      </c>
      <c r="C122" s="10">
        <f>$B$112/250*$B$6*$B$5</f>
        <v/>
      </c>
      <c r="D122" s="10">
        <f>$B$112/250*$B$6*$B$5*$B$8</f>
        <v/>
      </c>
    </row>
    <row r="125">
      <c r="A125" s="1" t="inlineStr">
        <is>
          <t>How to update</t>
        </is>
      </c>
    </row>
    <row r="126">
      <c r="A126" t="inlineStr">
        <is>
          <t>1. Run:  python3 update_tracker.py /path/to/project --xlsx Build_Value_Tracker.xlsx</t>
        </is>
      </c>
    </row>
    <row r="127">
      <c r="A127" t="inlineStr">
        <is>
          <t>2. The script rewrites the Data tab (Module, Raw LOC, Code LOC, Effort factor) and writes loc_data.csv.</t>
        </is>
      </c>
    </row>
    <row r="128">
      <c r="A128" t="inlineStr">
        <is>
          <t>3. This Tracker tab recalculates automatically when the file is (re)opened.</t>
        </is>
      </c>
    </row>
    <row r="129">
      <c r="A129" t="inlineStr">
        <is>
          <t>4. Google Sheets: import loc_data.csv into the Data tab (replace existing data); this tab recalculates the same way.</t>
        </is>
      </c>
    </row>
    <row r="130">
      <c r="A130" t="inlineStr">
        <is>
          <t>5. Adjust the yellow cells (rate, hours/day, net LOC/day, delivery multiplier) at any time — everything below updates.</t>
        </is>
      </c>
    </row>
    <row r="131">
      <c r="A131" t="inlineStr">
        <is>
          <t>6. Effort factors discount generated/repetitive content (SVG ~0.30, JSON ~0.30, HTML ~0.55, CSS/MD ~0.60, app logic 1.0),</t>
        </is>
      </c>
    </row>
    <row r="132">
      <c r="A132" t="inlineStr">
        <is>
          <t xml:space="preserve">   so the figure is a defensible replacement cost, not a vanity line count.</t>
        </is>
      </c>
    </row>
    <row r="133">
      <c r="A133" t="inlineStr">
        <is>
          <t>7. Delivery multiplier: "Build only" is just writing code; "Full delivery" multiplies it for design, testing, QA, UAT and PM.</t>
        </is>
      </c>
    </row>
    <row r="134">
      <c r="A134" t="inlineStr">
        <is>
          <t xml:space="preserve">   Coding is ~40-50% of total project effort, so ~1.8x (lean) to ~2.5x (thorough); default 2.0x. This compounds uncertainty —</t>
        </is>
      </c>
    </row>
    <row r="135">
      <c r="A135" t="inlineStr">
        <is>
          <t xml:space="preserve">   keep build-only as the defensible core and present full delivery as a range.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2026-06-18T18:14:22Z</dcterms:created>
  <dcterms:modified xsi:type="dcterms:W3CDTF">2026-06-27T04:43:15Z</dcterms:modified>
</cp:coreProperties>
</file>